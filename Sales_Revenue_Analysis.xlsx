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gal\Downloads\"/>
    </mc:Choice>
  </mc:AlternateContent>
  <xr:revisionPtr revIDLastSave="0" documentId="13_ncr:1_{2A823CFD-7583-44FB-B8DF-D8EE505106CD}" xr6:coauthVersionLast="47" xr6:coauthVersionMax="47" xr10:uidLastSave="{00000000-0000-0000-0000-000000000000}"/>
  <bookViews>
    <workbookView xWindow="-108" yWindow="-108" windowWidth="23256" windowHeight="12456" xr2:uid="{00000000-000D-0000-FFFF-FFFF00000000}"/>
  </bookViews>
  <sheets>
    <sheet name="Sheet1" sheetId="2" r:id="rId1"/>
    <sheet name="Sales Revenue Analysis" sheetId="1" r:id="rId2"/>
  </sheets>
  <definedNames>
    <definedName name="Slicer_Region">#N/A</definedName>
  </definedNames>
  <calcPr calcId="191029"/>
  <pivotCaches>
    <pivotCache cacheId="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 l="1"/>
  <c r="C14" i="1"/>
  <c r="F3" i="1"/>
  <c r="F4" i="1"/>
  <c r="F5" i="1"/>
  <c r="F6" i="1"/>
  <c r="F7" i="1"/>
  <c r="F2" i="1"/>
  <c r="C13" i="1" s="1"/>
  <c r="C12" i="1" l="1"/>
</calcChain>
</file>

<file path=xl/sharedStrings.xml><?xml version="1.0" encoding="utf-8"?>
<sst xmlns="http://schemas.openxmlformats.org/spreadsheetml/2006/main" count="41" uniqueCount="29">
  <si>
    <t>Product</t>
  </si>
  <si>
    <t>Category</t>
  </si>
  <si>
    <t>Price</t>
  </si>
  <si>
    <t>Quantity Sold</t>
  </si>
  <si>
    <t>Region</t>
  </si>
  <si>
    <t>Revenue</t>
  </si>
  <si>
    <t>Summary</t>
  </si>
  <si>
    <t>Laptop</t>
  </si>
  <si>
    <t>Electronics</t>
  </si>
  <si>
    <t>North</t>
  </si>
  <si>
    <t>Total Revenue</t>
  </si>
  <si>
    <t>Smartphone</t>
  </si>
  <si>
    <t>South</t>
  </si>
  <si>
    <t>Average Revenue</t>
  </si>
  <si>
    <t>Tablet</t>
  </si>
  <si>
    <t>East</t>
  </si>
  <si>
    <t>Highest Revenue</t>
  </si>
  <si>
    <t>Headphones</t>
  </si>
  <si>
    <t>Accessories</t>
  </si>
  <si>
    <t>West</t>
  </si>
  <si>
    <t>Lowest Revenue</t>
  </si>
  <si>
    <t>Keyboard</t>
  </si>
  <si>
    <t>Monitor</t>
  </si>
  <si>
    <t>formula's</t>
  </si>
  <si>
    <t>revenue=price*quantity</t>
  </si>
  <si>
    <t>Row Labels</t>
  </si>
  <si>
    <t>Grand Total</t>
  </si>
  <si>
    <t>Sum of Revenue</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</si>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</sst>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1" xfId="0" applyFont="1" applyBorder="1"/>
    <xf numFmtId="0" fontId="0" fillId="0" borderId="1" xfId="0" applyBorder="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Revenue</c:v>
                </c:pt>
              </c:strCache>
            </c:strRef>
          </c:tx>
          <c:spPr>
            <a:solidFill>
              <a:schemeClr val="accent1"/>
            </a:solidFill>
            <a:ln>
              <a:noFill/>
            </a:ln>
            <a:effectLst/>
          </c:spPr>
          <c:invertIfNegative val="0"/>
          <c:cat>
            <c:strRef>
              <c:f>Sheet1!$A$4:$A$10</c:f>
              <c:strCache>
                <c:ptCount val="6"/>
                <c:pt idx="0">
                  <c:v>Headphones</c:v>
                </c:pt>
                <c:pt idx="1">
                  <c:v>Keyboard</c:v>
                </c:pt>
                <c:pt idx="2">
                  <c:v>Laptop</c:v>
                </c:pt>
                <c:pt idx="3">
                  <c:v>Monitor</c:v>
                </c:pt>
                <c:pt idx="4">
                  <c:v>Smartphone</c:v>
                </c:pt>
                <c:pt idx="5">
                  <c:v>Tablet</c:v>
                </c:pt>
              </c:strCache>
            </c:strRef>
          </c:cat>
          <c:val>
            <c:numRef>
              <c:f>Sheet1!$B$4:$B$10</c:f>
              <c:numCache>
                <c:formatCode>General</c:formatCode>
                <c:ptCount val="6"/>
                <c:pt idx="0">
                  <c:v>6000</c:v>
                </c:pt>
                <c:pt idx="1">
                  <c:v>2500</c:v>
                </c:pt>
                <c:pt idx="2">
                  <c:v>18000</c:v>
                </c:pt>
                <c:pt idx="3">
                  <c:v>3000</c:v>
                </c:pt>
                <c:pt idx="4">
                  <c:v>24000</c:v>
                </c:pt>
                <c:pt idx="5">
                  <c:v>10000</c:v>
                </c:pt>
              </c:numCache>
            </c:numRef>
          </c:val>
          <c:extLst>
            <c:ext xmlns:c16="http://schemas.microsoft.com/office/drawing/2014/chart" uri="{C3380CC4-5D6E-409C-BE32-E72D297353CC}">
              <c16:uniqueId val="{00000000-EDE5-4A6E-A21F-47CE2D843885}"/>
            </c:ext>
          </c:extLst>
        </c:ser>
        <c:ser>
          <c:idx val="1"/>
          <c:order val="1"/>
          <c:tx>
            <c:strRef>
              <c:f>Sheet1!$C$3</c:f>
              <c:strCache>
                <c:ptCount val="1"/>
                <c:pt idx="0">
                  <c:v>Sum of Price</c:v>
                </c:pt>
              </c:strCache>
            </c:strRef>
          </c:tx>
          <c:spPr>
            <a:solidFill>
              <a:schemeClr val="accent2"/>
            </a:solidFill>
            <a:ln>
              <a:noFill/>
            </a:ln>
            <a:effectLst/>
          </c:spPr>
          <c:invertIfNegative val="0"/>
          <c:cat>
            <c:strRef>
              <c:f>Sheet1!$A$4:$A$10</c:f>
              <c:strCache>
                <c:ptCount val="6"/>
                <c:pt idx="0">
                  <c:v>Headphones</c:v>
                </c:pt>
                <c:pt idx="1">
                  <c:v>Keyboard</c:v>
                </c:pt>
                <c:pt idx="2">
                  <c:v>Laptop</c:v>
                </c:pt>
                <c:pt idx="3">
                  <c:v>Monitor</c:v>
                </c:pt>
                <c:pt idx="4">
                  <c:v>Smartphone</c:v>
                </c:pt>
                <c:pt idx="5">
                  <c:v>Tablet</c:v>
                </c:pt>
              </c:strCache>
            </c:strRef>
          </c:cat>
          <c:val>
            <c:numRef>
              <c:f>Sheet1!$C$4:$C$10</c:f>
              <c:numCache>
                <c:formatCode>General</c:formatCode>
                <c:ptCount val="6"/>
                <c:pt idx="0">
                  <c:v>150</c:v>
                </c:pt>
                <c:pt idx="1">
                  <c:v>100</c:v>
                </c:pt>
                <c:pt idx="2">
                  <c:v>1200</c:v>
                </c:pt>
                <c:pt idx="3">
                  <c:v>300</c:v>
                </c:pt>
                <c:pt idx="4">
                  <c:v>800</c:v>
                </c:pt>
                <c:pt idx="5">
                  <c:v>500</c:v>
                </c:pt>
              </c:numCache>
            </c:numRef>
          </c:val>
          <c:extLst>
            <c:ext xmlns:c16="http://schemas.microsoft.com/office/drawing/2014/chart" uri="{C3380CC4-5D6E-409C-BE32-E72D297353CC}">
              <c16:uniqueId val="{00000003-EDE5-4A6E-A21F-47CE2D843885}"/>
            </c:ext>
          </c:extLst>
        </c:ser>
        <c:dLbls>
          <c:showLegendKey val="0"/>
          <c:showVal val="0"/>
          <c:showCatName val="0"/>
          <c:showSerName val="0"/>
          <c:showPercent val="0"/>
          <c:showBubbleSize val="0"/>
        </c:dLbls>
        <c:gapWidth val="219"/>
        <c:overlap val="-27"/>
        <c:axId val="1501492432"/>
        <c:axId val="1501492912"/>
      </c:barChart>
      <c:catAx>
        <c:axId val="150149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92912"/>
        <c:crosses val="autoZero"/>
        <c:auto val="1"/>
        <c:lblAlgn val="ctr"/>
        <c:lblOffset val="100"/>
        <c:noMultiLvlLbl val="0"/>
      </c:catAx>
      <c:valAx>
        <c:axId val="150149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9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205740</xdr:colOff>
      <xdr:row>0</xdr:row>
      <xdr:rowOff>0</xdr:rowOff>
    </xdr:from>
    <xdr:to>
      <xdr:col>11</xdr:col>
      <xdr:colOff>83820</xdr:colOff>
      <xdr:row>15</xdr:row>
      <xdr:rowOff>114300</xdr:rowOff>
    </xdr:to>
    <xdr:graphicFrame macro="">
      <xdr:nvGraphicFramePr>
        <xdr:cNvPr id="2" name="Chart 1">
          <a:extLst>
            <a:ext uri="{FF2B5EF4-FFF2-40B4-BE49-F238E27FC236}">
              <a16:creationId xmlns:a16="http://schemas.microsoft.com/office/drawing/2014/main" id="{F6C60A52-3C2B-31F8-934D-7331AE274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198120</xdr:colOff>
      <xdr:row>1</xdr:row>
      <xdr:rowOff>68581</xdr:rowOff>
    </xdr:from>
    <xdr:to>
      <xdr:col>15</xdr:col>
      <xdr:colOff>205740</xdr:colOff>
      <xdr:row>9</xdr:row>
      <xdr:rowOff>121921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6831EB4-63B6-4F48-8D30-4180C4D84F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59140" y="251461"/>
              <a:ext cx="183642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LAPATI ARCHANA" refreshedDate="46150.51358402778" createdVersion="8" refreshedVersion="8" minRefreshableVersion="3" recordCount="6" xr:uid="{4A74E077-A9ED-47AF-AB13-03B4F527D32C}">
  <cacheSource type="worksheet">
    <worksheetSource ref="A1:H7" sheet="Sales Revenue Analysis"/>
  </cacheSource>
  <cacheFields count="8">
    <cacheField name="Product" numFmtId="0">
      <sharedItems count="6">
        <s v="Laptop"/>
        <s v="Smartphone"/>
        <s v="Tablet"/>
        <s v="Headphones"/>
        <s v="Keyboard"/>
        <s v="Monitor"/>
      </sharedItems>
    </cacheField>
    <cacheField name="Category" numFmtId="0">
      <sharedItems count="2">
        <s v="Electronics"/>
        <s v="Accessories"/>
      </sharedItems>
    </cacheField>
    <cacheField name="Price" numFmtId="0">
      <sharedItems containsSemiMixedTypes="0" containsString="0" containsNumber="1" containsInteger="1" minValue="100" maxValue="1200"/>
    </cacheField>
    <cacheField name="Quantity Sold" numFmtId="0">
      <sharedItems containsSemiMixedTypes="0" containsString="0" containsNumber="1" containsInteger="1" minValue="10" maxValue="40"/>
    </cacheField>
    <cacheField name="Region" numFmtId="0">
      <sharedItems count="4">
        <s v="North"/>
        <s v="South"/>
        <s v="East"/>
        <s v="West"/>
      </sharedItems>
    </cacheField>
    <cacheField name="Revenue" numFmtId="0">
      <sharedItems containsSemiMixedTypes="0" containsString="0" containsNumber="1" containsInteger="1" minValue="2500" maxValue="24000"/>
    </cacheField>
    <cacheField name="Field7" caption="Field7" numFmtId="0">
      <sharedItems containsBlank="1"/>
    </cacheField>
    <cacheField name="Summary" numFmtId="0">
      <sharedItems containsString="0" containsBlank="1" containsNumber="1" minValue="2500" maxValue="63500"/>
    </cacheField>
  </cacheFields>
  <extLst>
    <ext xmlns:x14="http://schemas.microsoft.com/office/spreadsheetml/2009/9/main" uri="{725AE2AE-9491-48be-B2B4-4EB974FC3084}">
      <x14:pivotCacheDefinition pivotCacheId="903251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200"/>
    <n v="15"/>
    <x v="0"/>
    <n v="18000"/>
    <s v="Total Revenue"/>
    <n v="63500"/>
  </r>
  <r>
    <x v="1"/>
    <x v="0"/>
    <n v="800"/>
    <n v="30"/>
    <x v="1"/>
    <n v="24000"/>
    <s v="Average Revenue"/>
    <n v="10583.333333333334"/>
  </r>
  <r>
    <x v="2"/>
    <x v="0"/>
    <n v="500"/>
    <n v="20"/>
    <x v="2"/>
    <n v="10000"/>
    <s v="Highest Revenue"/>
    <n v="24000"/>
  </r>
  <r>
    <x v="3"/>
    <x v="1"/>
    <n v="150"/>
    <n v="40"/>
    <x v="3"/>
    <n v="6000"/>
    <s v="Lowest Revenue"/>
    <n v="2500"/>
  </r>
  <r>
    <x v="4"/>
    <x v="1"/>
    <n v="100"/>
    <n v="25"/>
    <x v="0"/>
    <n v="2500"/>
    <m/>
    <m/>
  </r>
  <r>
    <x v="5"/>
    <x v="0"/>
    <n v="300"/>
    <n v="10"/>
    <x v="1"/>
    <n v="300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6B40FD-D4F8-4188-9155-60201CD250D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8">
    <pivotField axis="axisRow" showAll="0">
      <items count="7">
        <item x="3"/>
        <item x="4"/>
        <item x="0"/>
        <item x="5"/>
        <item x="1"/>
        <item x="2"/>
        <item t="default"/>
      </items>
    </pivotField>
    <pivotField showAll="0"/>
    <pivotField dataField="1" showAll="0"/>
    <pivotField showAll="0"/>
    <pivotField showAll="0">
      <items count="5">
        <item x="2"/>
        <item x="0"/>
        <item x="1"/>
        <item x="3"/>
        <item t="default"/>
      </items>
    </pivotField>
    <pivotField dataField="1" showAll="0"/>
    <pivotField showAll="0"/>
    <pivotField showAll="0"/>
  </pivotFields>
  <rowFields count="1">
    <field x="0"/>
  </rowFields>
  <rowItems count="7">
    <i>
      <x/>
    </i>
    <i>
      <x v="1"/>
    </i>
    <i>
      <x v="2"/>
    </i>
    <i>
      <x v="3"/>
    </i>
    <i>
      <x v="4"/>
    </i>
    <i>
      <x v="5"/>
    </i>
    <i t="grand">
      <x/>
    </i>
  </rowItems>
  <colFields count="1">
    <field x="-2"/>
  </colFields>
  <colItems count="2">
    <i>
      <x/>
    </i>
    <i i="1">
      <x v="1"/>
    </i>
  </colItems>
  <dataFields count="2">
    <dataField name="Sum of Revenue" fld="5" baseField="0" baseItem="0"/>
    <dataField name="Sum of Price" fld="2"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982776-C1C9-4BDC-8071-90A3F3EA76AB}" sourceName="Region">
  <pivotTables>
    <pivotTable tabId="2" name="PivotTable1"/>
  </pivotTables>
  <data>
    <tabular pivotCacheId="90325181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27EE34-A850-44EC-A379-39CF3E493F0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F942B-7AD3-4C61-9A5C-5E3273E2FE72}">
  <dimension ref="A3:C10"/>
  <sheetViews>
    <sheetView tabSelected="1" workbookViewId="0">
      <selection activeCell="B4" sqref="B4"/>
    </sheetView>
  </sheetViews>
  <sheetFormatPr defaultRowHeight="14.4" x14ac:dyDescent="0.3"/>
  <cols>
    <col min="1" max="1" width="12.5546875" bestFit="1" customWidth="1"/>
    <col min="2" max="2" width="14.88671875" bestFit="1" customWidth="1"/>
    <col min="3" max="3" width="11.5546875" bestFit="1" customWidth="1"/>
  </cols>
  <sheetData>
    <row r="3" spans="1:3" x14ac:dyDescent="0.3">
      <c r="A3" s="1" t="s">
        <v>25</v>
      </c>
      <c r="B3" t="s">
        <v>27</v>
      </c>
      <c r="C3" t="s">
        <v>28</v>
      </c>
    </row>
    <row r="4" spans="1:3" x14ac:dyDescent="0.3">
      <c r="A4" s="2" t="s">
        <v>17</v>
      </c>
      <c r="B4" s="3">
        <v>6000</v>
      </c>
      <c r="C4" s="3">
        <v>150</v>
      </c>
    </row>
    <row r="5" spans="1:3" x14ac:dyDescent="0.3">
      <c r="A5" s="2" t="s">
        <v>21</v>
      </c>
      <c r="B5" s="3">
        <v>2500</v>
      </c>
      <c r="C5" s="3">
        <v>100</v>
      </c>
    </row>
    <row r="6" spans="1:3" x14ac:dyDescent="0.3">
      <c r="A6" s="2" t="s">
        <v>7</v>
      </c>
      <c r="B6" s="3">
        <v>18000</v>
      </c>
      <c r="C6" s="3">
        <v>1200</v>
      </c>
    </row>
    <row r="7" spans="1:3" x14ac:dyDescent="0.3">
      <c r="A7" s="2" t="s">
        <v>22</v>
      </c>
      <c r="B7" s="3">
        <v>3000</v>
      </c>
      <c r="C7" s="3">
        <v>300</v>
      </c>
    </row>
    <row r="8" spans="1:3" x14ac:dyDescent="0.3">
      <c r="A8" s="2" t="s">
        <v>11</v>
      </c>
      <c r="B8" s="3">
        <v>24000</v>
      </c>
      <c r="C8" s="3">
        <v>800</v>
      </c>
    </row>
    <row r="9" spans="1:3" x14ac:dyDescent="0.3">
      <c r="A9" s="2" t="s">
        <v>14</v>
      </c>
      <c r="B9" s="3">
        <v>10000</v>
      </c>
      <c r="C9" s="3">
        <v>500</v>
      </c>
    </row>
    <row r="10" spans="1:3" x14ac:dyDescent="0.3">
      <c r="A10" s="2" t="s">
        <v>26</v>
      </c>
      <c r="B10" s="3">
        <v>63500</v>
      </c>
      <c r="C10" s="3">
        <v>3050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election activeCell="G18" sqref="G18"/>
    </sheetView>
  </sheetViews>
  <sheetFormatPr defaultRowHeight="14.4" x14ac:dyDescent="0.3"/>
  <cols>
    <col min="1" max="1" width="12.77734375" customWidth="1"/>
    <col min="2" max="2" width="12.109375" customWidth="1"/>
    <col min="3" max="3" width="12.44140625" customWidth="1"/>
    <col min="4" max="4" width="12.44140625" bestFit="1" customWidth="1"/>
    <col min="5" max="5" width="11.44140625" customWidth="1"/>
    <col min="6" max="6" width="11.33203125" customWidth="1"/>
    <col min="7" max="7" width="15.33203125" customWidth="1"/>
    <col min="8" max="8" width="12.6640625" customWidth="1"/>
  </cols>
  <sheetData>
    <row r="1" spans="1:6" x14ac:dyDescent="0.3">
      <c r="A1" s="4" t="s">
        <v>0</v>
      </c>
      <c r="B1" s="4" t="s">
        <v>1</v>
      </c>
      <c r="C1" s="4" t="s">
        <v>2</v>
      </c>
      <c r="D1" s="4" t="s">
        <v>3</v>
      </c>
      <c r="E1" s="4" t="s">
        <v>4</v>
      </c>
      <c r="F1" s="4" t="s">
        <v>5</v>
      </c>
    </row>
    <row r="2" spans="1:6" x14ac:dyDescent="0.3">
      <c r="A2" s="5" t="s">
        <v>7</v>
      </c>
      <c r="B2" s="5" t="s">
        <v>8</v>
      </c>
      <c r="C2" s="5">
        <v>1200</v>
      </c>
      <c r="D2" s="5">
        <v>15</v>
      </c>
      <c r="E2" s="5" t="s">
        <v>9</v>
      </c>
      <c r="F2" s="5">
        <f>C2*D2</f>
        <v>18000</v>
      </c>
    </row>
    <row r="3" spans="1:6" x14ac:dyDescent="0.3">
      <c r="A3" s="5" t="s">
        <v>11</v>
      </c>
      <c r="B3" s="5" t="s">
        <v>8</v>
      </c>
      <c r="C3" s="5">
        <v>800</v>
      </c>
      <c r="D3" s="5">
        <v>30</v>
      </c>
      <c r="E3" s="5" t="s">
        <v>12</v>
      </c>
      <c r="F3" s="5">
        <f t="shared" ref="F3:F7" si="0">C3*D3</f>
        <v>24000</v>
      </c>
    </row>
    <row r="4" spans="1:6" x14ac:dyDescent="0.3">
      <c r="A4" s="5" t="s">
        <v>14</v>
      </c>
      <c r="B4" s="5" t="s">
        <v>8</v>
      </c>
      <c r="C4" s="5">
        <v>500</v>
      </c>
      <c r="D4" s="5">
        <v>20</v>
      </c>
      <c r="E4" s="5" t="s">
        <v>15</v>
      </c>
      <c r="F4" s="5">
        <f t="shared" si="0"/>
        <v>10000</v>
      </c>
    </row>
    <row r="5" spans="1:6" x14ac:dyDescent="0.3">
      <c r="A5" s="5" t="s">
        <v>17</v>
      </c>
      <c r="B5" s="5" t="s">
        <v>18</v>
      </c>
      <c r="C5" s="5">
        <v>150</v>
      </c>
      <c r="D5" s="5">
        <v>40</v>
      </c>
      <c r="E5" s="5" t="s">
        <v>19</v>
      </c>
      <c r="F5" s="5">
        <f t="shared" si="0"/>
        <v>6000</v>
      </c>
    </row>
    <row r="6" spans="1:6" x14ac:dyDescent="0.3">
      <c r="A6" s="5" t="s">
        <v>21</v>
      </c>
      <c r="B6" s="5" t="s">
        <v>18</v>
      </c>
      <c r="C6" s="5">
        <v>100</v>
      </c>
      <c r="D6" s="5">
        <v>25</v>
      </c>
      <c r="E6" s="5" t="s">
        <v>9</v>
      </c>
      <c r="F6" s="5">
        <f t="shared" si="0"/>
        <v>2500</v>
      </c>
    </row>
    <row r="7" spans="1:6" x14ac:dyDescent="0.3">
      <c r="A7" s="5" t="s">
        <v>22</v>
      </c>
      <c r="B7" s="5" t="s">
        <v>8</v>
      </c>
      <c r="C7" s="5">
        <v>300</v>
      </c>
      <c r="D7" s="5">
        <v>10</v>
      </c>
      <c r="E7" s="5" t="s">
        <v>12</v>
      </c>
      <c r="F7" s="5">
        <f t="shared" si="0"/>
        <v>3000</v>
      </c>
    </row>
    <row r="11" spans="1:6" x14ac:dyDescent="0.3">
      <c r="C11" t="s">
        <v>6</v>
      </c>
    </row>
    <row r="12" spans="1:6" x14ac:dyDescent="0.3">
      <c r="B12" t="s">
        <v>10</v>
      </c>
      <c r="C12">
        <f>SUM(F2:F7)</f>
        <v>63500</v>
      </c>
      <c r="F12" t="s">
        <v>23</v>
      </c>
    </row>
    <row r="13" spans="1:6" x14ac:dyDescent="0.3">
      <c r="B13" t="s">
        <v>13</v>
      </c>
      <c r="C13">
        <f>AVERAGE(F2:F7)</f>
        <v>10583.333333333334</v>
      </c>
      <c r="F13" t="s">
        <v>24</v>
      </c>
    </row>
    <row r="14" spans="1:6" x14ac:dyDescent="0.3">
      <c r="B14" t="s">
        <v>16</v>
      </c>
      <c r="C14">
        <f>MAX(F2:F7)</f>
        <v>24000</v>
      </c>
    </row>
    <row r="15" spans="1:6" x14ac:dyDescent="0.3">
      <c r="B15" t="s">
        <v>20</v>
      </c>
      <c r="C15">
        <f>MIN(F2:F7)</f>
        <v>2500</v>
      </c>
    </row>
  </sheetData>
  <conditionalFormatting sqref="F1:F11 F14:F1048576">
    <cfRule type="cellIs" dxfId="0" priority="1" operator="greaterThan">
      <formula>10000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 Revenue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NAGALAPATI ARCHANA</cp:lastModifiedBy>
  <dcterms:created xsi:type="dcterms:W3CDTF">2026-05-08T06:42:50Z</dcterms:created>
  <dcterms:modified xsi:type="dcterms:W3CDTF">2026-05-08T07:01:29Z</dcterms:modified>
</cp:coreProperties>
</file>